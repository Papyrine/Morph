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/>
  <xr:revisionPtr revIDLastSave="0" documentId="11_78BFEAA159C098F4D3881F243BA85C4494FF67BE" xr6:coauthVersionLast="47" xr6:coauthVersionMax="47" xr10:uidLastSave="{00000000-0000-0000-0000-000000000000}"/>
  <bookViews>
    <workbookView xWindow="-110" yWindow="-110" windowWidth="25820" windowHeight="15500" xr2:uid="{5A1669E6-4997-4B12-BFF0-C150D07C2457}"/>
  </bookViews>
  <sheets>
    <sheet name="Timesheet invoice" sheetId="1" r:id="rId1"/>
  </sheets>
  <definedNames>
    <definedName name="_xlnm.Print_Area" localSheetId="0">'Timesheet invoice'!$A$1:$F$51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7" i="1" l="1"/>
  <c r="E38" i="1"/>
  <c r="E39" i="1"/>
  <c r="E40" i="1"/>
  <c r="E21" i="1"/>
  <c r="E22" i="1"/>
  <c r="E23" i="1"/>
  <c r="E24" i="1"/>
  <c r="E29" i="1"/>
  <c r="E30" i="1"/>
  <c r="E31" i="1"/>
  <c r="E32" i="1"/>
  <c r="E20" i="1"/>
  <c r="E28" i="1"/>
  <c r="E36" i="1"/>
  <c r="C16" i="1"/>
  <c r="B16" i="1"/>
  <c r="E41" i="1" l="1"/>
  <c r="E33" i="1"/>
  <c r="E25" i="1" l="1"/>
  <c r="E43" i="1" s="1"/>
  <c r="E45" i="1" l="1"/>
  <c r="E46" i="1" s="1"/>
</calcChain>
</file>

<file path=xl/sharedStrings.xml><?xml version="1.0" encoding="utf-8"?>
<sst xmlns="http://schemas.openxmlformats.org/spreadsheetml/2006/main" count="48" uniqueCount="38">
  <si>
    <t xml:space="preserve"> INVOICE</t>
  </si>
  <si>
    <t>INVOICE NO.:</t>
  </si>
  <si>
    <t xml:space="preserve">DATE: </t>
  </si>
  <si>
    <t>DUE DATE:</t>
  </si>
  <si>
    <t>FROM</t>
  </si>
  <si>
    <t>BILL TO</t>
  </si>
  <si>
    <t>Your Company Name</t>
  </si>
  <si>
    <t>Client Company Name</t>
  </si>
  <si>
    <t>Street Address</t>
  </si>
  <si>
    <t>Contact Name</t>
  </si>
  <si>
    <t>City, State, Zip/Postal Code</t>
  </si>
  <si>
    <t>Address</t>
  </si>
  <si>
    <t>Phone</t>
  </si>
  <si>
    <t>Email</t>
  </si>
  <si>
    <t>START DATE</t>
  </si>
  <si>
    <t>END DATE</t>
  </si>
  <si>
    <t>LOCATION</t>
  </si>
  <si>
    <t>CLIENT</t>
  </si>
  <si>
    <t>LABOR</t>
  </si>
  <si>
    <t>DESCRIPTION</t>
  </si>
  <si>
    <t>HOURS</t>
  </si>
  <si>
    <t>RATE</t>
  </si>
  <si>
    <t>AMOUNT</t>
  </si>
  <si>
    <t>Labor</t>
  </si>
  <si>
    <t>SUBTOTAL</t>
  </si>
  <si>
    <t>MATERIAL</t>
  </si>
  <si>
    <t>QTY</t>
  </si>
  <si>
    <t>UNIT PRICE</t>
  </si>
  <si>
    <t>Box</t>
  </si>
  <si>
    <t>OTHER</t>
  </si>
  <si>
    <t>Other</t>
  </si>
  <si>
    <t>TERMS &amp; CONDITIONS</t>
  </si>
  <si>
    <t>DISCOUNT</t>
  </si>
  <si>
    <t>SUBTOTAL LESS DISCOUNT</t>
  </si>
  <si>
    <t>TAX RATE</t>
  </si>
  <si>
    <t>TOTAL TAX</t>
  </si>
  <si>
    <t>TOTAL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</si>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</sst>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mm/dd/yy"/>
    <numFmt numFmtId="165" formatCode="_-&quot;$&quot;* #,##0.00_-;\-&quot;$&quot;* #,##0.00_-;_-&quot;$&quot;* &quot;-&quot;??_-;_-@"/>
    <numFmt numFmtId="166" formatCode="&quot;$&quot;#,##0.00"/>
  </numFmts>
  <fonts count="23">
    <font>
      <sz val="11"/>
      <color theme="1"/>
      <name val="Constantia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onstantia"/>
      <family val="2"/>
      <scheme val="minor"/>
    </font>
    <font>
      <b/>
      <sz val="48"/>
      <color theme="1"/>
      <name val="Constantia"/>
      <family val="2"/>
      <scheme val="major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Constantia"/>
      <family val="3"/>
      <charset val="134"/>
      <scheme val="minor"/>
    </font>
    <font>
      <sz val="11"/>
      <color theme="1"/>
      <name val="Constantia"/>
      <family val="2"/>
      <scheme val="major"/>
    </font>
    <font>
      <b/>
      <sz val="10"/>
      <color theme="1"/>
      <name val="Constantia"/>
      <family val="2"/>
      <scheme val="major"/>
    </font>
    <font>
      <sz val="10"/>
      <color theme="1"/>
      <name val="Constantia"/>
      <family val="2"/>
      <scheme val="major"/>
    </font>
    <font>
      <b/>
      <sz val="12"/>
      <color theme="1"/>
      <name val="Constantia"/>
      <family val="2"/>
      <scheme val="major"/>
    </font>
    <font>
      <sz val="12"/>
      <color theme="1"/>
      <name val="Constantia"/>
      <family val="2"/>
      <scheme val="major"/>
    </font>
    <font>
      <sz val="9"/>
      <color theme="1"/>
      <name val="Constantia"/>
      <family val="2"/>
      <scheme val="major"/>
    </font>
    <font>
      <b/>
      <sz val="11"/>
      <color theme="1"/>
      <name val="Constantia"/>
      <family val="2"/>
      <scheme val="major"/>
    </font>
    <font>
      <sz val="11"/>
      <color theme="1"/>
      <name val="Arial"/>
      <family val="2"/>
      <charset val="134"/>
    </font>
    <font>
      <sz val="12"/>
      <color theme="1"/>
      <name val="Arial"/>
      <family val="2"/>
      <charset val="134"/>
    </font>
    <font>
      <sz val="10"/>
      <color theme="1"/>
      <name val="Constantia"/>
      <family val="2"/>
      <scheme val="minor"/>
    </font>
    <font>
      <b/>
      <sz val="10"/>
      <color theme="1"/>
      <name val="Constantia"/>
      <family val="2"/>
      <scheme val="minor"/>
    </font>
    <font>
      <b/>
      <sz val="11"/>
      <color theme="1"/>
      <name val="Constantia"/>
      <family val="2"/>
      <scheme val="minor"/>
    </font>
    <font>
      <sz val="11"/>
      <color theme="1"/>
      <name val="Constant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CC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0.59999389629810485"/>
        <bgColor rgb="FFCC0000"/>
      </patternFill>
    </fill>
    <fill>
      <patternFill patternType="solid">
        <fgColor theme="2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-9.9978637043366805E-2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0" fillId="2" borderId="0" xfId="0" applyFont="1" applyFill="1"/>
    <xf numFmtId="0" fontId="13" fillId="2" borderId="0" xfId="0" applyFont="1" applyFill="1" applyAlignment="1">
      <alignment horizontal="right"/>
    </xf>
    <xf numFmtId="0" fontId="17" fillId="0" borderId="0" xfId="0" applyFont="1"/>
    <xf numFmtId="0" fontId="14" fillId="2" borderId="0" xfId="0" applyFont="1" applyFill="1" applyAlignment="1">
      <alignment vertical="center"/>
    </xf>
    <xf numFmtId="0" fontId="10" fillId="2" borderId="0" xfId="0" applyFont="1" applyFill="1" applyAlignment="1">
      <alignment horizontal="right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left" vertical="center" wrapText="1" indent="1"/>
    </xf>
    <xf numFmtId="0" fontId="16" fillId="4" borderId="0" xfId="0" applyFont="1" applyFill="1" applyAlignment="1">
      <alignment horizontal="left" vertical="center"/>
    </xf>
    <xf numFmtId="2" fontId="16" fillId="4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19" fillId="4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 indent="1"/>
    </xf>
    <xf numFmtId="0" fontId="1" fillId="5" borderId="0" xfId="0" applyFont="1" applyFill="1"/>
    <xf numFmtId="0" fontId="10" fillId="5" borderId="0" xfId="0" applyFont="1" applyFill="1"/>
    <xf numFmtId="0" fontId="4" fillId="5" borderId="0" xfId="0" applyFont="1" applyFill="1" applyAlignment="1">
      <alignment vertical="center"/>
    </xf>
    <xf numFmtId="0" fontId="11" fillId="5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right"/>
    </xf>
    <xf numFmtId="0" fontId="13" fillId="6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right"/>
    </xf>
    <xf numFmtId="0" fontId="13" fillId="5" borderId="0" xfId="0" applyFont="1" applyFill="1" applyAlignment="1">
      <alignment horizontal="left" vertical="center" indent="1"/>
    </xf>
    <xf numFmtId="0" fontId="13" fillId="5" borderId="0" xfId="0" applyFont="1" applyFill="1" applyAlignment="1">
      <alignment horizontal="right"/>
    </xf>
    <xf numFmtId="0" fontId="13" fillId="5" borderId="0" xfId="0" applyFont="1" applyFill="1" applyAlignment="1">
      <alignment horizontal="right" vertical="center"/>
    </xf>
    <xf numFmtId="166" fontId="13" fillId="5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left" indent="1"/>
    </xf>
    <xf numFmtId="0" fontId="6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right" vertical="center"/>
    </xf>
    <xf numFmtId="0" fontId="11" fillId="7" borderId="0" xfId="0" applyFont="1" applyFill="1" applyAlignment="1">
      <alignment vertical="center"/>
    </xf>
    <xf numFmtId="0" fontId="16" fillId="7" borderId="0" xfId="0" applyFont="1" applyFill="1" applyAlignment="1">
      <alignment horizontal="right" vertical="center"/>
    </xf>
    <xf numFmtId="0" fontId="16" fillId="7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0" fillId="5" borderId="0" xfId="0" applyFont="1" applyFill="1" applyAlignment="1">
      <alignment horizontal="left" vertical="center" indent="1"/>
    </xf>
    <xf numFmtId="14" fontId="20" fillId="5" borderId="0" xfId="0" applyNumberFormat="1" applyFont="1" applyFill="1" applyAlignment="1">
      <alignment horizontal="left" vertical="center" indent="1"/>
    </xf>
    <xf numFmtId="0" fontId="19" fillId="2" borderId="0" xfId="0" applyFont="1" applyFill="1" applyAlignment="1">
      <alignment horizontal="left" vertical="center" indent="1"/>
    </xf>
    <xf numFmtId="0" fontId="19" fillId="2" borderId="1" xfId="0" applyFont="1" applyFill="1" applyBorder="1" applyAlignment="1">
      <alignment horizontal="left" vertical="center" indent="1"/>
    </xf>
    <xf numFmtId="0" fontId="16" fillId="2" borderId="0" xfId="0" applyFont="1" applyFill="1" applyAlignment="1">
      <alignment horizontal="right" vertical="center" indent="1"/>
    </xf>
    <xf numFmtId="0" fontId="19" fillId="2" borderId="0" xfId="0" applyFont="1" applyFill="1" applyAlignment="1">
      <alignment horizontal="right" vertical="center" indent="1"/>
    </xf>
    <xf numFmtId="0" fontId="19" fillId="2" borderId="1" xfId="0" applyFont="1" applyFill="1" applyBorder="1" applyAlignment="1">
      <alignment horizontal="right" vertical="center" indent="1"/>
    </xf>
    <xf numFmtId="0" fontId="16" fillId="3" borderId="0" xfId="0" applyFont="1" applyFill="1" applyAlignment="1">
      <alignment horizontal="left" vertical="center" indent="1"/>
    </xf>
    <xf numFmtId="14" fontId="19" fillId="2" borderId="0" xfId="0" applyNumberFormat="1" applyFont="1" applyFill="1" applyAlignment="1">
      <alignment horizontal="left" vertical="center" indent="1"/>
    </xf>
    <xf numFmtId="0" fontId="16" fillId="3" borderId="0" xfId="0" applyFont="1" applyFill="1" applyAlignment="1">
      <alignment horizontal="right" vertical="center" indent="1"/>
    </xf>
    <xf numFmtId="14" fontId="19" fillId="2" borderId="0" xfId="0" applyNumberFormat="1" applyFont="1" applyFill="1" applyAlignment="1">
      <alignment horizontal="right" vertical="center" indent="1"/>
    </xf>
    <xf numFmtId="0" fontId="16" fillId="7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1" fontId="21" fillId="0" borderId="0" xfId="0" applyNumberFormat="1" applyFont="1" applyAlignment="1">
      <alignment horizontal="right" vertical="center" indent="1"/>
    </xf>
    <xf numFmtId="1" fontId="19" fillId="0" borderId="0" xfId="0" applyNumberFormat="1" applyFont="1" applyAlignment="1">
      <alignment horizontal="right" vertical="center" indent="1"/>
    </xf>
    <xf numFmtId="0" fontId="21" fillId="0" borderId="0" xfId="0" applyFont="1" applyAlignment="1">
      <alignment horizontal="right" vertical="center" indent="1"/>
    </xf>
    <xf numFmtId="166" fontId="19" fillId="0" borderId="0" xfId="0" applyNumberFormat="1" applyFont="1" applyAlignment="1">
      <alignment horizontal="right" vertical="center" indent="1"/>
    </xf>
    <xf numFmtId="0" fontId="16" fillId="4" borderId="0" xfId="0" applyFont="1" applyFill="1" applyAlignment="1">
      <alignment horizontal="right" vertical="center" indent="1"/>
    </xf>
    <xf numFmtId="166" fontId="16" fillId="4" borderId="0" xfId="0" applyNumberFormat="1" applyFont="1" applyFill="1" applyAlignment="1">
      <alignment horizontal="right" vertical="center" indent="1"/>
    </xf>
    <xf numFmtId="166" fontId="19" fillId="0" borderId="0" xfId="1" applyNumberFormat="1" applyFont="1" applyFill="1" applyBorder="1" applyAlignment="1">
      <alignment horizontal="right" vertical="center" indent="1"/>
    </xf>
    <xf numFmtId="166" fontId="16" fillId="4" borderId="0" xfId="1" applyNumberFormat="1" applyFont="1" applyFill="1" applyBorder="1" applyAlignment="1">
      <alignment horizontal="right" vertical="center" indent="1"/>
    </xf>
    <xf numFmtId="0" fontId="16" fillId="6" borderId="0" xfId="0" applyFont="1" applyFill="1" applyAlignment="1">
      <alignment horizontal="right" vertical="center" indent="1"/>
    </xf>
    <xf numFmtId="166" fontId="19" fillId="2" borderId="0" xfId="0" applyNumberFormat="1" applyFont="1" applyFill="1" applyAlignment="1">
      <alignment horizontal="right" vertical="center" indent="1"/>
    </xf>
    <xf numFmtId="10" fontId="19" fillId="2" borderId="0" xfId="2" applyNumberFormat="1" applyFont="1" applyFill="1" applyBorder="1" applyAlignment="1">
      <alignment horizontal="right" vertical="center" indent="1"/>
    </xf>
    <xf numFmtId="166" fontId="16" fillId="6" borderId="0" xfId="0" applyNumberFormat="1" applyFont="1" applyFill="1" applyAlignment="1">
      <alignment horizontal="right" vertical="center" indent="1"/>
    </xf>
    <xf numFmtId="0" fontId="4" fillId="5" borderId="0" xfId="0" applyFont="1" applyFill="1" applyAlignment="1">
      <alignment horizontal="right" vertical="center" indent="1"/>
    </xf>
    <xf numFmtId="0" fontId="10" fillId="5" borderId="0" xfId="0" applyFont="1" applyFill="1" applyAlignment="1">
      <alignment horizontal="right" vertical="center" indent="1"/>
    </xf>
  </cellXfs>
  <cellStyles count="3">
    <cellStyle name="Currency" xfId="1" builtinId="4"/>
    <cellStyle name="Normal" xfId="0" builtinId="0"/>
    <cellStyle name="Percent" xfId="2" builtinId="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onstantia"/>
        <family val="2"/>
        <scheme val="maj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tantia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onstantia"/>
        <family val="2"/>
        <scheme val="maj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tantia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family val="2"/>
        <scheme val="minor"/>
      </font>
      <numFmt numFmtId="166" formatCode="&quot;$&quot;#,##0.00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1"/>
        <name val="Constantia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/>
        <name val="Constantia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tantia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color theme="1"/>
      </font>
    </dxf>
    <dxf>
      <font>
        <b/>
        <color theme="1"/>
      </font>
      <border>
        <left/>
        <right/>
        <top/>
        <bottom/>
      </border>
    </dxf>
    <dxf>
      <font>
        <color theme="1"/>
      </font>
      <fill>
        <patternFill>
          <fgColor theme="9" tint="0.79998168889431442"/>
          <bgColor theme="9" tint="0.79998168889431442"/>
        </patternFill>
      </fill>
      <border>
        <top style="thin">
          <color theme="1"/>
        </top>
        <bottom/>
      </border>
    </dxf>
  </dxfs>
  <tableStyles count="1" defaultTableStyle="TableStyleLight1 2" defaultPivotStyle="PivotStyleLight16">
    <tableStyle name="TableStyleLight1 2" pivot="0" count="3" xr9:uid="{8D0E38AD-C08F-4B85-8B15-8AB4F3C0CD40}">
      <tableStyleElement type="wholeTable" dxfId="25"/>
      <tableStyleElement type="headerRow" dxfId="24"/>
      <tableStyleElement type="lastColumn" dxfId="23"/>
    </tableStyle>
  </tableStyles>
  <colors>
    <mruColors>
      <color rgb="FF4EA6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FB69DD-0557-4EB5-8E37-AA2D4E29DE79}" name="LaborDetails" displayName="LaborDetails" ref="B19:E24" headerRowDxfId="22" dataDxfId="21" totalsRowDxfId="20">
  <autoFilter ref="B19:E24" xr:uid="{16FB69DD-0557-4EB5-8E37-AA2D4E29DE79}">
    <filterColumn colId="0" hiddenButton="1"/>
    <filterColumn colId="1" hiddenButton="1"/>
    <filterColumn colId="2" hiddenButton="1"/>
    <filterColumn colId="3" hiddenButton="1"/>
  </autoFilter>
  <tableColumns count="4">
    <tableColumn id="1" xr3:uid="{F0FA6DDB-FD91-4F7C-B337-4DED6340E618}" name="DESCRIPTION" totalsRowLabel="Total" dataDxfId="18" totalsRowDxfId="19"/>
    <tableColumn id="2" xr3:uid="{9E8A71FD-D391-4AF2-AEE7-982E3B840C5B}" name="HOURS" dataDxfId="16" totalsRowDxfId="17"/>
    <tableColumn id="3" xr3:uid="{A327A279-830E-4B2B-8000-68C49CE9D1EB}" name="RATE" dataDxfId="14" totalsRowDxfId="15"/>
    <tableColumn id="4" xr3:uid="{CF2D1598-743D-4E44-A1C9-D6757BAF66A2}" name="AMOUNT" totalsRowFunction="sum" dataDxfId="12" totalsRowDxfId="13">
      <calculatedColumnFormula>IF(ISBLANK(LaborDetails[[#This Row],[HOURS]]),"",(IFERROR(LaborDetails[[#This Row],[HOURS]]*LaborDetails[[#This Row],[RATE]],"")))</calculatedColumnFormula>
    </tableColumn>
  </tableColumns>
  <tableStyleInfo name="TableStyleLight1 2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F61113-A5D6-4FDF-9287-175B240C32EE}" name="MaterialDetails" displayName="MaterialDetails" ref="B27:E32" totalsRowShown="0" headerRowDxfId="11" dataDxfId="10">
  <autoFilter ref="B27:E32" xr:uid="{A2F61113-A5D6-4FDF-9287-175B240C32EE}">
    <filterColumn colId="0" hiddenButton="1"/>
    <filterColumn colId="1" hiddenButton="1"/>
    <filterColumn colId="2" hiddenButton="1"/>
    <filterColumn colId="3" hiddenButton="1"/>
  </autoFilter>
  <tableColumns count="4">
    <tableColumn id="1" xr3:uid="{D0BF74CE-2316-4A6B-97AA-6F548EA4319A}" name="DESCRIPTION" dataDxfId="9"/>
    <tableColumn id="2" xr3:uid="{7F7822DC-BB5A-4ECC-B8EC-20A9CAA94220}" name="QTY" dataDxfId="8"/>
    <tableColumn id="3" xr3:uid="{88439BD6-FDD8-472D-8895-EA14418A8715}" name="UNIT PRICE" dataDxfId="7"/>
    <tableColumn id="4" xr3:uid="{348B9F49-3D19-4811-A63E-83329BA76300}" name="AMOUNT" dataDxfId="6">
      <calculatedColumnFormula>IF(ISBLANK(MaterialDetails[[#This Row],[QTY]]),"",(IFERROR(MaterialDetails[[#This Row],[QTY]]*MaterialDetails[[#This Row],[UNIT PRICE]],"")))</calculatedColumnFormula>
    </tableColumn>
  </tableColumns>
  <tableStyleInfo name="TableStyleLight1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66DA5E-6AB5-48A8-936A-CA9CC846D825}" name="OtherDetails" displayName="OtherDetails" ref="B35:E40" totalsRowShown="0" headerRowDxfId="5" dataDxfId="4">
  <autoFilter ref="B35:E40" xr:uid="{AA66DA5E-6AB5-48A8-936A-CA9CC846D825}">
    <filterColumn colId="0" hiddenButton="1"/>
    <filterColumn colId="1" hiddenButton="1"/>
    <filterColumn colId="2" hiddenButton="1"/>
    <filterColumn colId="3" hiddenButton="1"/>
  </autoFilter>
  <tableColumns count="4">
    <tableColumn id="1" xr3:uid="{979A1176-2560-4F4B-BCB7-A2A59C37B377}" name="DESCRIPTION" dataDxfId="3"/>
    <tableColumn id="2" xr3:uid="{45C12BB1-7166-41ED-9557-C6768EADEF0B}" name="QTY" dataDxfId="2"/>
    <tableColumn id="3" xr3:uid="{B3E8FF8A-6AC3-4008-97A9-7835BB410020}" name="UNIT PRICE" dataDxfId="1"/>
    <tableColumn id="4" xr3:uid="{AE6174C8-275C-438B-91FE-E2B3F9D3CE3C}" name="AMOUNT" dataDxfId="0">
      <calculatedColumnFormula>IF(ISBLANK(OtherDetails[[#This Row],[QTY]]),"",(IFERROR(OtherDetails[[#This Row],[QTY]]*OtherDetails[[#This Row],[UNIT PRICE]],"")))</calculatedColumnFormula>
    </tableColumn>
  </tableColumns>
  <tableStyleInfo name="TableStyleLight1 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Custom 1">
      <a:dk1>
        <a:sysClr val="windowText" lastClr="000000"/>
      </a:dk1>
      <a:lt1>
        <a:sysClr val="window" lastClr="FFFFFF"/>
      </a:lt1>
      <a:dk2>
        <a:srgbClr val="4EA6DC"/>
      </a:dk2>
      <a:lt2>
        <a:srgbClr val="E32D91"/>
      </a:lt2>
      <a:accent1>
        <a:srgbClr val="C830CC"/>
      </a:accent1>
      <a:accent2>
        <a:srgbClr val="4775E7"/>
      </a:accent2>
      <a:accent3>
        <a:srgbClr val="8971E1"/>
      </a:accent3>
      <a:accent4>
        <a:srgbClr val="6B9F25"/>
      </a:accent4>
      <a:accent5>
        <a:srgbClr val="E7F65C"/>
      </a:accent5>
      <a:accent6>
        <a:srgbClr val="F92D23"/>
      </a:accent6>
      <a:hlink>
        <a:srgbClr val="8C8C8C"/>
      </a:hlink>
      <a:folHlink>
        <a:srgbClr val="8C8C8C"/>
      </a:folHlink>
    </a:clrScheme>
    <a:fontScheme name="Custom 56">
      <a:majorFont>
        <a:latin typeface="Constantia"/>
        <a:ea typeface="Constantia"/>
        <a:cs typeface=""/>
      </a:majorFont>
      <a:minorFont>
        <a:latin typeface="Constantia"/>
        <a:ea typeface="Constantia"/>
        <a:cs typeface="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6636-551A-497A-A079-7B10F9A66588}">
  <sheetPr>
    <tabColor theme="4"/>
    <pageSetUpPr fitToPage="1"/>
  </sheetPr>
  <dimension ref="B1:F53"/>
  <sheetViews>
    <sheetView tabSelected="1" zoomScaleNormal="100" workbookViewId="0"/>
  </sheetViews>
  <sheetFormatPr defaultColWidth="17.375" defaultRowHeight="15" customHeight="1"/>
  <cols>
    <col min="1" max="1" width="2.625" style="1" customWidth="1"/>
    <col min="2" max="2" width="30.625" style="1" customWidth="1"/>
    <col min="3" max="3" width="14.625" style="1" customWidth="1"/>
    <col min="4" max="4" width="20.625" style="1" customWidth="1"/>
    <col min="5" max="5" width="22.625" style="1" customWidth="1"/>
    <col min="6" max="6" width="2.625" style="1" customWidth="1"/>
    <col min="7" max="16384" width="17.375" style="1"/>
  </cols>
  <sheetData>
    <row r="1" spans="2:6" ht="9.9499999999999993" customHeight="1">
      <c r="B1" s="21"/>
      <c r="C1" s="21"/>
      <c r="D1" s="21"/>
      <c r="E1" s="21"/>
    </row>
    <row r="2" spans="2:6" ht="9.9499999999999993" customHeight="1">
      <c r="B2" s="22"/>
      <c r="C2" s="21"/>
      <c r="D2" s="79" t="s">
        <v>0</v>
      </c>
      <c r="E2" s="79"/>
    </row>
    <row r="3" spans="2:6" ht="15.95" customHeight="1">
      <c r="B3" s="52" t="s">
        <v>1</v>
      </c>
      <c r="C3" s="22"/>
      <c r="D3" s="79"/>
      <c r="E3" s="79"/>
      <c r="F3" s="40"/>
    </row>
    <row r="4" spans="2:6" ht="15.95" customHeight="1">
      <c r="B4" s="53" t="s">
        <v>2</v>
      </c>
      <c r="C4" s="22"/>
      <c r="D4" s="79"/>
      <c r="E4" s="79"/>
      <c r="F4" s="40"/>
    </row>
    <row r="5" spans="2:6" ht="15.95" customHeight="1">
      <c r="B5" s="52" t="s">
        <v>3</v>
      </c>
      <c r="C5" s="22"/>
      <c r="D5" s="79"/>
      <c r="E5" s="79"/>
      <c r="F5" s="40"/>
    </row>
    <row r="6" spans="2:6" ht="9.9499999999999993" customHeight="1">
      <c r="B6" s="23"/>
      <c r="C6" s="22"/>
      <c r="D6" s="24"/>
      <c r="E6" s="24"/>
      <c r="F6" s="40"/>
    </row>
    <row r="7" spans="2:6" ht="9.9499999999999993" customHeight="1">
      <c r="B7" s="21"/>
      <c r="C7" s="25"/>
      <c r="D7" s="26"/>
      <c r="E7" s="26"/>
      <c r="F7" s="41"/>
    </row>
    <row r="8" spans="2:6" ht="15.95" customHeight="1">
      <c r="B8" s="13" t="s">
        <v>4</v>
      </c>
      <c r="C8" s="6"/>
      <c r="D8" s="7"/>
      <c r="E8" s="56" t="s">
        <v>5</v>
      </c>
      <c r="F8" s="42"/>
    </row>
    <row r="9" spans="2:6" ht="15.95" customHeight="1">
      <c r="B9" s="54" t="s">
        <v>6</v>
      </c>
      <c r="C9" s="3"/>
      <c r="D9" s="7"/>
      <c r="E9" s="57" t="s">
        <v>7</v>
      </c>
      <c r="F9" s="43"/>
    </row>
    <row r="10" spans="2:6" ht="15.95" customHeight="1">
      <c r="B10" s="54" t="s">
        <v>8</v>
      </c>
      <c r="C10" s="3"/>
      <c r="D10" s="7"/>
      <c r="E10" s="57" t="s">
        <v>9</v>
      </c>
      <c r="F10" s="44"/>
    </row>
    <row r="11" spans="2:6" ht="15.95" customHeight="1">
      <c r="B11" s="54" t="s">
        <v>10</v>
      </c>
      <c r="C11" s="3"/>
      <c r="D11" s="7"/>
      <c r="E11" s="57" t="s">
        <v>11</v>
      </c>
      <c r="F11" s="44"/>
    </row>
    <row r="12" spans="2:6" ht="15.95" customHeight="1">
      <c r="B12" s="54" t="s">
        <v>12</v>
      </c>
      <c r="C12" s="3"/>
      <c r="D12" s="7"/>
      <c r="E12" s="57" t="s">
        <v>12</v>
      </c>
      <c r="F12" s="44"/>
    </row>
    <row r="13" spans="2:6" ht="15.95" customHeight="1">
      <c r="B13" s="55" t="s">
        <v>13</v>
      </c>
      <c r="C13" s="8"/>
      <c r="D13" s="9"/>
      <c r="E13" s="58" t="s">
        <v>13</v>
      </c>
      <c r="F13" s="44"/>
    </row>
    <row r="14" spans="2:6" ht="6" customHeight="1">
      <c r="B14" s="3"/>
      <c r="C14" s="3"/>
      <c r="D14" s="10"/>
      <c r="E14" s="11"/>
      <c r="F14" s="44"/>
    </row>
    <row r="15" spans="2:6" ht="15.95" customHeight="1">
      <c r="B15" s="59" t="s">
        <v>14</v>
      </c>
      <c r="C15" s="61" t="s">
        <v>15</v>
      </c>
      <c r="D15" s="61" t="s">
        <v>16</v>
      </c>
      <c r="E15" s="61" t="s">
        <v>17</v>
      </c>
      <c r="F15" s="44"/>
    </row>
    <row r="16" spans="2:6" ht="15.95" customHeight="1">
      <c r="B16" s="60">
        <f ca="1">TODAY()</f>
        <v>46219</v>
      </c>
      <c r="C16" s="62">
        <f ca="1">TODAY()</f>
        <v>46219</v>
      </c>
      <c r="D16" s="57"/>
      <c r="E16" s="57"/>
      <c r="F16" s="44"/>
    </row>
    <row r="17" spans="2:6" ht="6" customHeight="1">
      <c r="B17" s="11"/>
      <c r="C17" s="12"/>
      <c r="D17" s="7"/>
      <c r="E17" s="3"/>
      <c r="F17" s="45"/>
    </row>
    <row r="18" spans="2:6" ht="18" customHeight="1">
      <c r="B18" s="63" t="s">
        <v>18</v>
      </c>
      <c r="C18" s="36"/>
      <c r="D18" s="36"/>
      <c r="E18" s="37"/>
      <c r="F18" s="40"/>
    </row>
    <row r="19" spans="2:6" ht="18" customHeight="1">
      <c r="B19" s="65" t="s">
        <v>19</v>
      </c>
      <c r="C19" s="67" t="s">
        <v>20</v>
      </c>
      <c r="D19" s="69" t="s">
        <v>21</v>
      </c>
      <c r="E19" s="69" t="s">
        <v>22</v>
      </c>
      <c r="F19" s="40"/>
    </row>
    <row r="20" spans="2:6" s="5" customFormat="1" ht="18" customHeight="1">
      <c r="B20" s="66" t="s">
        <v>23</v>
      </c>
      <c r="C20" s="68">
        <v>50</v>
      </c>
      <c r="D20" s="70">
        <v>50</v>
      </c>
      <c r="E20" s="70">
        <f>IF(ISBLANK(LaborDetails[[#This Row],[HOURS]]),"",(IFERROR(LaborDetails[[#This Row],[HOURS]]*LaborDetails[[#This Row],[RATE]],"")))</f>
        <v>2500</v>
      </c>
      <c r="F20" s="46"/>
    </row>
    <row r="21" spans="2:6" ht="18" customHeight="1">
      <c r="B21" s="66"/>
      <c r="C21" s="68"/>
      <c r="D21" s="70"/>
      <c r="E21" s="70" t="str">
        <f>IF(ISBLANK(LaborDetails[[#This Row],[HOURS]]),"",(IFERROR(LaborDetails[[#This Row],[HOURS]]*LaborDetails[[#This Row],[RATE]],"")))</f>
        <v/>
      </c>
      <c r="F21" s="40"/>
    </row>
    <row r="22" spans="2:6" ht="18" customHeight="1">
      <c r="B22" s="66"/>
      <c r="C22" s="68"/>
      <c r="D22" s="70"/>
      <c r="E22" s="70" t="str">
        <f>IF(ISBLANK(LaborDetails[[#This Row],[HOURS]]),"",(IFERROR(LaborDetails[[#This Row],[HOURS]]*LaborDetails[[#This Row],[RATE]],"")))</f>
        <v/>
      </c>
      <c r="F22" s="40"/>
    </row>
    <row r="23" spans="2:6" ht="18" customHeight="1">
      <c r="B23" s="66"/>
      <c r="C23" s="68"/>
      <c r="D23" s="70"/>
      <c r="E23" s="70" t="str">
        <f>IF(ISBLANK(LaborDetails[[#This Row],[HOURS]]),"",(IFERROR(LaborDetails[[#This Row],[HOURS]]*LaborDetails[[#This Row],[RATE]],"")))</f>
        <v/>
      </c>
      <c r="F23" s="40"/>
    </row>
    <row r="24" spans="2:6" ht="18" customHeight="1">
      <c r="B24" s="66"/>
      <c r="C24" s="68"/>
      <c r="D24" s="70"/>
      <c r="E24" s="70" t="str">
        <f>IF(ISBLANK(LaborDetails[[#This Row],[HOURS]]),"",(IFERROR(LaborDetails[[#This Row],[HOURS]]*LaborDetails[[#This Row],[RATE]],"")))</f>
        <v/>
      </c>
      <c r="F24" s="40"/>
    </row>
    <row r="25" spans="2:6" ht="18" customHeight="1">
      <c r="B25" s="18"/>
      <c r="C25" s="16"/>
      <c r="D25" s="71" t="s">
        <v>24</v>
      </c>
      <c r="E25" s="72">
        <f>IFERROR(SUM(LaborDetails[AMOUNT]),"0")</f>
        <v>2500</v>
      </c>
      <c r="F25" s="40"/>
    </row>
    <row r="26" spans="2:6" ht="18" customHeight="1">
      <c r="B26" s="64" t="s">
        <v>25</v>
      </c>
      <c r="C26" s="38"/>
      <c r="D26" s="38"/>
      <c r="E26" s="39"/>
      <c r="F26" s="40"/>
    </row>
    <row r="27" spans="2:6" ht="18" customHeight="1">
      <c r="B27" s="65" t="s">
        <v>19</v>
      </c>
      <c r="C27" s="67" t="s">
        <v>26</v>
      </c>
      <c r="D27" s="69" t="s">
        <v>27</v>
      </c>
      <c r="E27" s="69" t="s">
        <v>22</v>
      </c>
      <c r="F27" s="40"/>
    </row>
    <row r="28" spans="2:6" ht="18" customHeight="1">
      <c r="B28" s="66" t="s">
        <v>28</v>
      </c>
      <c r="C28" s="68">
        <v>50</v>
      </c>
      <c r="D28" s="70">
        <v>50</v>
      </c>
      <c r="E28" s="73">
        <f>IF(ISBLANK(MaterialDetails[[#This Row],[QTY]]),"",(IFERROR(MaterialDetails[[#This Row],[QTY]]*MaterialDetails[[#This Row],[UNIT PRICE]],"")))</f>
        <v>2500</v>
      </c>
      <c r="F28" s="40"/>
    </row>
    <row r="29" spans="2:6" ht="18" customHeight="1">
      <c r="B29" s="66"/>
      <c r="C29" s="68"/>
      <c r="D29" s="70"/>
      <c r="E29" s="73" t="str">
        <f>IF(ISBLANK(MaterialDetails[[#This Row],[QTY]]),"",(IFERROR(MaterialDetails[[#This Row],[QTY]]*MaterialDetails[[#This Row],[UNIT PRICE]],"")))</f>
        <v/>
      </c>
      <c r="F29" s="40"/>
    </row>
    <row r="30" spans="2:6" ht="18" customHeight="1">
      <c r="B30" s="66"/>
      <c r="C30" s="68"/>
      <c r="D30" s="70"/>
      <c r="E30" s="73" t="str">
        <f>IF(ISBLANK(MaterialDetails[[#This Row],[QTY]]),"",(IFERROR(MaterialDetails[[#This Row],[QTY]]*MaterialDetails[[#This Row],[UNIT PRICE]],"")))</f>
        <v/>
      </c>
      <c r="F30" s="40"/>
    </row>
    <row r="31" spans="2:6" ht="18" customHeight="1">
      <c r="B31" s="66"/>
      <c r="C31" s="68"/>
      <c r="D31" s="70"/>
      <c r="E31" s="73" t="str">
        <f>IF(ISBLANK(MaterialDetails[[#This Row],[QTY]]),"",(IFERROR(MaterialDetails[[#This Row],[QTY]]*MaterialDetails[[#This Row],[UNIT PRICE]],"")))</f>
        <v/>
      </c>
      <c r="F31" s="40"/>
    </row>
    <row r="32" spans="2:6" ht="18" customHeight="1">
      <c r="B32" s="66"/>
      <c r="C32" s="68"/>
      <c r="D32" s="70"/>
      <c r="E32" s="73" t="str">
        <f>IF(ISBLANK(MaterialDetails[[#This Row],[QTY]]),"",(IFERROR(MaterialDetails[[#This Row],[QTY]]*MaterialDetails[[#This Row],[UNIT PRICE]],"")))</f>
        <v/>
      </c>
    </row>
    <row r="33" spans="2:6" ht="18" customHeight="1">
      <c r="B33" s="15"/>
      <c r="C33" s="17"/>
      <c r="D33" s="71" t="s">
        <v>24</v>
      </c>
      <c r="E33" s="74">
        <f>IFERROR(SUM(MaterialDetails[AMOUNT]),"")</f>
        <v>2500</v>
      </c>
    </row>
    <row r="34" spans="2:6" ht="18" customHeight="1">
      <c r="B34" s="63" t="s">
        <v>29</v>
      </c>
      <c r="C34" s="38"/>
      <c r="D34" s="38"/>
      <c r="E34" s="39"/>
    </row>
    <row r="35" spans="2:6" ht="18" customHeight="1">
      <c r="B35" s="65" t="s">
        <v>19</v>
      </c>
      <c r="C35" s="67" t="s">
        <v>26</v>
      </c>
      <c r="D35" s="69" t="s">
        <v>27</v>
      </c>
      <c r="E35" s="69" t="s">
        <v>22</v>
      </c>
    </row>
    <row r="36" spans="2:6" ht="18" customHeight="1">
      <c r="B36" s="66" t="s">
        <v>30</v>
      </c>
      <c r="C36" s="68">
        <v>50</v>
      </c>
      <c r="D36" s="70">
        <v>50</v>
      </c>
      <c r="E36" s="70">
        <f>IF(ISBLANK(OtherDetails[[#This Row],[QTY]]),"",(IFERROR(OtherDetails[[#This Row],[QTY]]*OtherDetails[[#This Row],[UNIT PRICE]],"")))</f>
        <v>2500</v>
      </c>
    </row>
    <row r="37" spans="2:6" ht="18" customHeight="1">
      <c r="B37" s="66"/>
      <c r="C37" s="68"/>
      <c r="D37" s="70"/>
      <c r="E37" s="70" t="str">
        <f>IF(ISBLANK(OtherDetails[[#This Row],[QTY]]),"",(IFERROR(OtherDetails[[#This Row],[QTY]]*OtherDetails[[#This Row],[UNIT PRICE]],"")))</f>
        <v/>
      </c>
    </row>
    <row r="38" spans="2:6" ht="18" customHeight="1">
      <c r="B38" s="66"/>
      <c r="C38" s="68"/>
      <c r="D38" s="70"/>
      <c r="E38" s="70" t="str">
        <f>IF(ISBLANK(OtherDetails[[#This Row],[QTY]]),"",(IFERROR(OtherDetails[[#This Row],[QTY]]*OtherDetails[[#This Row],[UNIT PRICE]],"")))</f>
        <v/>
      </c>
    </row>
    <row r="39" spans="2:6" ht="18" customHeight="1">
      <c r="B39" s="66"/>
      <c r="C39" s="68"/>
      <c r="D39" s="70"/>
      <c r="E39" s="70" t="str">
        <f>IF(ISBLANK(OtherDetails[[#This Row],[QTY]]),"",(IFERROR(OtherDetails[[#This Row],[QTY]]*OtherDetails[[#This Row],[UNIT PRICE]],"")))</f>
        <v/>
      </c>
    </row>
    <row r="40" spans="2:6" ht="18" customHeight="1">
      <c r="B40" s="66"/>
      <c r="C40" s="68"/>
      <c r="D40" s="70"/>
      <c r="E40" s="70" t="str">
        <f>IF(ISBLANK(OtherDetails[[#This Row],[QTY]]),"",(IFERROR(OtherDetails[[#This Row],[QTY]]*OtherDetails[[#This Row],[UNIT PRICE]],"")))</f>
        <v/>
      </c>
      <c r="F40" s="47"/>
    </row>
    <row r="41" spans="2:6" ht="18" customHeight="1">
      <c r="B41" s="15"/>
      <c r="C41" s="17"/>
      <c r="D41" s="71" t="s">
        <v>24</v>
      </c>
      <c r="E41" s="72">
        <f>IFERROR(SUM(OtherDetails[AMOUNT]),"")</f>
        <v>2500</v>
      </c>
      <c r="F41" s="47"/>
    </row>
    <row r="42" spans="2:6" ht="15.95" customHeight="1">
      <c r="B42" s="13" t="s">
        <v>31</v>
      </c>
      <c r="C42" s="4"/>
      <c r="D42" s="57" t="s">
        <v>32</v>
      </c>
      <c r="E42" s="76">
        <v>0</v>
      </c>
      <c r="F42" s="48"/>
    </row>
    <row r="43" spans="2:6" ht="15.95" customHeight="1">
      <c r="B43" s="19"/>
      <c r="C43" s="4"/>
      <c r="D43" s="57" t="s">
        <v>33</v>
      </c>
      <c r="E43" s="76">
        <f>IFERROR(E25+E33+E41-E42,"0")</f>
        <v>7500</v>
      </c>
      <c r="F43" s="47"/>
    </row>
    <row r="44" spans="2:6" ht="15.95" customHeight="1">
      <c r="B44" s="14"/>
      <c r="C44" s="4"/>
      <c r="D44" s="57" t="s">
        <v>34</v>
      </c>
      <c r="E44" s="77">
        <v>0.05</v>
      </c>
      <c r="F44" s="49"/>
    </row>
    <row r="45" spans="2:6" ht="15.95" customHeight="1">
      <c r="B45" s="14"/>
      <c r="C45" s="4"/>
      <c r="D45" s="57" t="s">
        <v>35</v>
      </c>
      <c r="E45" s="76">
        <f>IFERROR(E43*E44,"0")</f>
        <v>375</v>
      </c>
      <c r="F45" s="50"/>
    </row>
    <row r="46" spans="2:6" ht="15.95" customHeight="1">
      <c r="B46" s="27"/>
      <c r="C46" s="28"/>
      <c r="D46" s="75" t="s">
        <v>36</v>
      </c>
      <c r="E46" s="78">
        <f>IFERROR(E43+E45,"0")</f>
        <v>7875</v>
      </c>
      <c r="F46" s="50"/>
    </row>
    <row r="47" spans="2:6" ht="15.95" customHeight="1">
      <c r="B47" s="29"/>
      <c r="C47" s="30"/>
      <c r="D47" s="31"/>
      <c r="E47" s="32"/>
      <c r="F47" s="50"/>
    </row>
    <row r="48" spans="2:6" ht="15.95" customHeight="1">
      <c r="B48" s="33"/>
      <c r="C48" s="21"/>
      <c r="D48" s="21"/>
      <c r="E48" s="21"/>
      <c r="F48" s="51"/>
    </row>
    <row r="49" spans="2:6" ht="15.95" customHeight="1">
      <c r="B49" s="33"/>
      <c r="C49" s="35"/>
      <c r="D49" s="80" t="s">
        <v>37</v>
      </c>
      <c r="E49" s="80"/>
      <c r="F49" s="45"/>
    </row>
    <row r="50" spans="2:6" ht="15.95" customHeight="1">
      <c r="B50" s="20"/>
      <c r="C50" s="34"/>
      <c r="D50" s="20"/>
      <c r="E50" s="20"/>
      <c r="F50" s="2"/>
    </row>
    <row r="51" spans="2:6" ht="15" customHeight="1">
      <c r="C51" s="2"/>
      <c r="D51" s="2"/>
      <c r="E51" s="2"/>
      <c r="F51" s="2"/>
    </row>
    <row r="52" spans="2:6" ht="15" customHeight="1">
      <c r="B52" s="2"/>
      <c r="C52" s="2"/>
      <c r="D52" s="2"/>
      <c r="E52" s="2"/>
    </row>
    <row r="53" spans="2:6" ht="15" customHeight="1">
      <c r="B53" s="2"/>
      <c r="C53" s="2"/>
      <c r="D53" s="2"/>
      <c r="E53" s="2"/>
    </row>
  </sheetData>
  <mergeCells count="2">
    <mergeCell ref="D2:E5"/>
    <mergeCell ref="D49:E49"/>
  </mergeCells>
  <phoneticPr fontId="9" type="noConversion"/>
  <dataValidations xWindow="65" yWindow="391" count="9">
    <dataValidation allowBlank="1" showInputMessage="1" showErrorMessage="1" prompt="Enter Invoice Terms and Conditions in cell B43. " sqref="A42" xr:uid="{E8228B94-15E2-4844-BFD8-8163578F66B5}"/>
    <dataValidation allowBlank="1" showInputMessage="1" showErrorMessage="1" prompt="Create a Timesheet invoice in this worksheet. Helpful instructions on how to use this worksheet are in cells in this column. Arrow down to get started." sqref="A1" xr:uid="{5DA2B8FC-EB7C-4F28-946E-25F2D5064645}"/>
    <dataValidation allowBlank="1" showInputMessage="1" showErrorMessage="1" prompt="Enter Invoice Number, Invoice Date and Due Date in cells B3 through B5. " sqref="A3" xr:uid="{2C5362E8-69CD-458D-BD7B-12C4FBE116CA}"/>
    <dataValidation allowBlank="1" showInputMessage="1" showErrorMessage="1" prompt="Enter FROM details such as Your Company Name, Street Address, City, State, Zip/Postal Code, Phone and Email in cells B9 through B13. _x000a__x000a_Enter BILL TO details such as Client Company Name, Contact Name, Address, Phone and Email in cells E9 through E13. " sqref="A8" xr:uid="{F39A8B52-13D3-4295-8740-3CF9CA302856}"/>
    <dataValidation allowBlank="1" showInputMessage="1" showErrorMessage="1" prompt="Enter Work details such as START DATE, END DATE, LOCATION and CLIENT in cells B16 though E16. " sqref="A15" xr:uid="{6D9D4F2D-39A2-44D6-B03B-091CF2F251A4}"/>
    <dataValidation allowBlank="1" showInputMessage="1" showErrorMessage="1" prompt="Enter Labor information in LaborDetails table starting in cell B20. Subtotal is auto calculated. " sqref="A18" xr:uid="{8F0C7EE2-491D-4F44-828F-9F84312A5443}"/>
    <dataValidation allowBlank="1" showInputMessage="1" showErrorMessage="1" prompt="Enter PAYMENT METHOD details such as Bank Name and Account No. in cell B49 through B50. " sqref="A46" xr:uid="{70C67AE0-C491-49E7-9116-92941E3A278F}"/>
    <dataValidation allowBlank="1" showInputMessage="1" showErrorMessage="1" prompt="Enter Material information in MaterialDetails table starting in cell B28. Subtotal is auto calculated. " sqref="A26" xr:uid="{4591A022-BCCC-46CE-B2CC-450E95DDDE4C}"/>
    <dataValidation allowBlank="1" showInputMessage="1" showErrorMessage="1" prompt="Enter Other information in OtherDetails table starting in cell B36. Subtotal and Total are auto calculated. _x000a_" sqref="A34" xr:uid="{5175B796-F084-451F-8392-C911604926B5}"/>
  </dataValidations>
  <printOptions horizontalCentered="1"/>
  <pageMargins left="0.7" right="0.7" top="0.75" bottom="0.75" header="0.3" footer="0.3"/>
  <pageSetup scale="83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094282-EE50-4E9B-86CA-D5E933CA3510}"/>
</file>

<file path=customXml/itemProps2.xml><?xml version="1.0" encoding="utf-8"?>
<ds:datastoreItem xmlns:ds="http://schemas.openxmlformats.org/officeDocument/2006/customXml" ds:itemID="{250F03D9-9404-4568-B230-AFD8461E0F5C}"/>
</file>

<file path=customXml/itemProps3.xml><?xml version="1.0" encoding="utf-8"?>
<ds:datastoreItem xmlns:ds="http://schemas.openxmlformats.org/officeDocument/2006/customXml" ds:itemID="{DFF55A69-6EB0-4F31-A6CF-2087A7A10865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2026-07-16T06:58:45Z</dcterms:created>
  <dcterms:modified xsi:type="dcterms:W3CDTF">2026-07-16T06:58:45Z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